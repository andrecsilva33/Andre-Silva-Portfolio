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9d79af8efef1cb/Documents/Andre-Silva-Portifolio/DQO_Analise/"/>
    </mc:Choice>
  </mc:AlternateContent>
  <xr:revisionPtr revIDLastSave="0" documentId="8_{11653CAE-2249-45D5-B12B-DFCB1E954F0F}" xr6:coauthVersionLast="47" xr6:coauthVersionMax="47" xr10:uidLastSave="{00000000-0000-0000-0000-000000000000}"/>
  <bookViews>
    <workbookView xWindow="-28920" yWindow="-900" windowWidth="29040" windowHeight="14610" activeTab="3" xr2:uid="{F1195428-2705-47E0-A23F-9B2EC2EC3C54}"/>
  </bookViews>
  <sheets>
    <sheet name="Dados" sheetId="1" r:id="rId1"/>
    <sheet name="Calculos" sheetId="2" r:id="rId2"/>
    <sheet name="Graficos" sheetId="3" r:id="rId3"/>
    <sheet name="Conclusao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2" l="1"/>
  <c r="B8" i="2"/>
  <c r="B7" i="2"/>
  <c r="B5" i="2"/>
  <c r="B4" i="2"/>
  <c r="B3" i="2"/>
</calcChain>
</file>

<file path=xl/sharedStrings.xml><?xml version="1.0" encoding="utf-8"?>
<sst xmlns="http://schemas.openxmlformats.org/spreadsheetml/2006/main" count="26" uniqueCount="26">
  <si>
    <t>Amostra</t>
  </si>
  <si>
    <t>Data</t>
  </si>
  <si>
    <t>DQO_mg_L</t>
  </si>
  <si>
    <t>pH</t>
  </si>
  <si>
    <t>Vazao_m3_h</t>
  </si>
  <si>
    <t>EFL-001</t>
  </si>
  <si>
    <t>EFL-002</t>
  </si>
  <si>
    <t>EFL-003</t>
  </si>
  <si>
    <t>EFL-004</t>
  </si>
  <si>
    <t>EFL-005</t>
  </si>
  <si>
    <t>EFL-006</t>
  </si>
  <si>
    <t>EFL-007</t>
  </si>
  <si>
    <t>EFL-008</t>
  </si>
  <si>
    <t>EFL-009</t>
  </si>
  <si>
    <t>EFL-010</t>
  </si>
  <si>
    <t>Indicador</t>
  </si>
  <si>
    <t>Resultado</t>
  </si>
  <si>
    <t>Média DQO</t>
  </si>
  <si>
    <t>Maior DQO</t>
  </si>
  <si>
    <t>Menor DQO</t>
  </si>
  <si>
    <t>Desvio-padrão</t>
  </si>
  <si>
    <t>Média pH</t>
  </si>
  <si>
    <t>Média Vazão</t>
  </si>
  <si>
    <t>Objetivo</t>
  </si>
  <si>
    <t>Resultados</t>
  </si>
  <si>
    <t>Interpretação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</si>
</sst>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Relação entre DQO e Vazão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Dados!$E$1</c:f>
              <c:strCache>
                <c:ptCount val="1"/>
                <c:pt idx="0">
                  <c:v>Vazao_m3_h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Dados!$E$2:$E$11</c:f>
              <c:numCache>
                <c:formatCode>General</c:formatCode>
                <c:ptCount val="10"/>
                <c:pt idx="0">
                  <c:v>12.5</c:v>
                </c:pt>
                <c:pt idx="1">
                  <c:v>13.2</c:v>
                </c:pt>
                <c:pt idx="2">
                  <c:v>12.8</c:v>
                </c:pt>
                <c:pt idx="3">
                  <c:v>14.1</c:v>
                </c:pt>
                <c:pt idx="4">
                  <c:v>13.6</c:v>
                </c:pt>
                <c:pt idx="5">
                  <c:v>11.9</c:v>
                </c:pt>
                <c:pt idx="6">
                  <c:v>14.8</c:v>
                </c:pt>
                <c:pt idx="7">
                  <c:v>13.9</c:v>
                </c:pt>
                <c:pt idx="8">
                  <c:v>12.7</c:v>
                </c:pt>
                <c:pt idx="9">
                  <c:v>12.2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75-4B4B-84B6-D7FC32290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473360"/>
        <c:axId val="714478160"/>
      </c:scatterChart>
      <c:valAx>
        <c:axId val="71447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4478160"/>
        <c:crosses val="autoZero"/>
        <c:crossBetween val="midCat"/>
      </c:valAx>
      <c:valAx>
        <c:axId val="71447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447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da DQO no Período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Dados!$C$1</c:f>
              <c:strCache>
                <c:ptCount val="1"/>
                <c:pt idx="0">
                  <c:v>DQO_mg_L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Dados!$C$2:$C$11</c:f>
              <c:numCache>
                <c:formatCode>General</c:formatCode>
                <c:ptCount val="10"/>
                <c:pt idx="0">
                  <c:v>1850</c:v>
                </c:pt>
                <c:pt idx="1">
                  <c:v>2100</c:v>
                </c:pt>
                <c:pt idx="2">
                  <c:v>1950</c:v>
                </c:pt>
                <c:pt idx="3">
                  <c:v>2400</c:v>
                </c:pt>
                <c:pt idx="4">
                  <c:v>2200</c:v>
                </c:pt>
                <c:pt idx="5">
                  <c:v>1750</c:v>
                </c:pt>
                <c:pt idx="6">
                  <c:v>2600</c:v>
                </c:pt>
                <c:pt idx="7">
                  <c:v>2300</c:v>
                </c:pt>
                <c:pt idx="8">
                  <c:v>2050</c:v>
                </c:pt>
                <c:pt idx="9">
                  <c:v>1900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55-4701-B54F-33AADBB0B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517520"/>
        <c:axId val="714495440"/>
      </c:lineChart>
      <c:catAx>
        <c:axId val="71451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4495440"/>
        <c:crosses val="autoZero"/>
        <c:auto val="1"/>
        <c:lblAlgn val="ctr"/>
        <c:lblOffset val="100"/>
        <c:noMultiLvlLbl val="0"/>
      </c:catAx>
      <c:valAx>
        <c:axId val="71449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451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3</xdr:row>
      <xdr:rowOff>0</xdr:rowOff>
    </xdr:from>
    <xdr:to>
      <xdr:col>14</xdr:col>
      <xdr:colOff>285750</xdr:colOff>
      <xdr:row>17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4D53C6-8F14-45FB-95DB-E68D05AD8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466725</xdr:colOff>
      <xdr:row>3</xdr:row>
      <xdr:rowOff>9525</xdr:rowOff>
    </xdr:from>
    <xdr:to>
      <xdr:col>6</xdr:col>
      <xdr:colOff>419100</xdr:colOff>
      <xdr:row>17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9F637E1-9607-49F4-9191-7E50696D18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3AA2-67B5-4E81-9BFC-4280556FA754}">
  <dimension ref="A1:E11"/>
  <sheetViews>
    <sheetView workbookViewId="0">
      <selection activeCell="M10" sqref="M10"/>
    </sheetView>
  </sheetViews>
  <sheetFormatPr defaultRowHeight="15" x14ac:dyDescent="0.25"/>
  <cols>
    <col min="2" max="2" width="12.28515625" customWidth="1"/>
    <col min="3" max="3" width="10.7109375" bestFit="1" customWidth="1"/>
    <col min="5" max="5" width="15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>
        <v>46235</v>
      </c>
      <c r="C2" s="2">
        <v>1850</v>
      </c>
      <c r="D2" s="2">
        <v>6.8</v>
      </c>
      <c r="E2" s="2">
        <v>12.5</v>
      </c>
    </row>
    <row r="3" spans="1:5" x14ac:dyDescent="0.25">
      <c r="A3" s="4" t="s">
        <v>6</v>
      </c>
      <c r="B3" s="5">
        <v>46236</v>
      </c>
      <c r="C3" s="2">
        <v>2100</v>
      </c>
      <c r="D3" s="2">
        <v>6.5</v>
      </c>
      <c r="E3" s="2">
        <v>13.2</v>
      </c>
    </row>
    <row r="4" spans="1:5" x14ac:dyDescent="0.25">
      <c r="A4" s="4" t="s">
        <v>7</v>
      </c>
      <c r="B4" s="5">
        <v>46237</v>
      </c>
      <c r="C4" s="2">
        <v>1950</v>
      </c>
      <c r="D4" s="2">
        <v>7.1</v>
      </c>
      <c r="E4" s="2">
        <v>12.8</v>
      </c>
    </row>
    <row r="5" spans="1:5" x14ac:dyDescent="0.25">
      <c r="A5" s="4" t="s">
        <v>8</v>
      </c>
      <c r="B5" s="5">
        <v>46238</v>
      </c>
      <c r="C5" s="2">
        <v>2400</v>
      </c>
      <c r="D5" s="2">
        <v>6.2</v>
      </c>
      <c r="E5" s="2">
        <v>14.1</v>
      </c>
    </row>
    <row r="6" spans="1:5" x14ac:dyDescent="0.25">
      <c r="A6" s="4" t="s">
        <v>9</v>
      </c>
      <c r="B6" s="5">
        <v>46239</v>
      </c>
      <c r="C6" s="2">
        <v>2200</v>
      </c>
      <c r="D6" s="2">
        <v>6.7</v>
      </c>
      <c r="E6" s="2">
        <v>13.6</v>
      </c>
    </row>
    <row r="7" spans="1:5" x14ac:dyDescent="0.25">
      <c r="A7" s="4" t="s">
        <v>10</v>
      </c>
      <c r="B7" s="5">
        <v>46240</v>
      </c>
      <c r="C7" s="2">
        <v>1750</v>
      </c>
      <c r="D7" s="2">
        <v>7.3</v>
      </c>
      <c r="E7" s="2">
        <v>11.9</v>
      </c>
    </row>
    <row r="8" spans="1:5" x14ac:dyDescent="0.25">
      <c r="A8" s="4" t="s">
        <v>11</v>
      </c>
      <c r="B8" s="5">
        <v>46241</v>
      </c>
      <c r="C8" s="2">
        <v>2600</v>
      </c>
      <c r="D8" s="2">
        <v>6</v>
      </c>
      <c r="E8" s="2">
        <v>14.8</v>
      </c>
    </row>
    <row r="9" spans="1:5" x14ac:dyDescent="0.25">
      <c r="A9" s="4" t="s">
        <v>12</v>
      </c>
      <c r="B9" s="5">
        <v>46242</v>
      </c>
      <c r="C9" s="2">
        <v>2300</v>
      </c>
      <c r="D9" s="2">
        <v>6.4</v>
      </c>
      <c r="E9" s="2">
        <v>13.9</v>
      </c>
    </row>
    <row r="10" spans="1:5" x14ac:dyDescent="0.25">
      <c r="A10" s="4" t="s">
        <v>13</v>
      </c>
      <c r="B10" s="5">
        <v>46243</v>
      </c>
      <c r="C10" s="2">
        <v>2050</v>
      </c>
      <c r="D10" s="2">
        <v>6.9</v>
      </c>
      <c r="E10" s="2">
        <v>12.7</v>
      </c>
    </row>
    <row r="11" spans="1:5" x14ac:dyDescent="0.25">
      <c r="A11" s="4" t="s">
        <v>14</v>
      </c>
      <c r="B11" s="5">
        <v>46244</v>
      </c>
      <c r="C11" s="2">
        <v>1900</v>
      </c>
      <c r="D11" s="2">
        <v>7</v>
      </c>
      <c r="E11" s="2">
        <v>12.2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413F-D0B1-4464-B323-ED4351BF835C}">
  <dimension ref="A2:B8"/>
  <sheetViews>
    <sheetView workbookViewId="0">
      <selection activeCell="K9" sqref="K9"/>
    </sheetView>
  </sheetViews>
  <sheetFormatPr defaultRowHeight="15" x14ac:dyDescent="0.25"/>
  <cols>
    <col min="1" max="1" width="19.7109375" customWidth="1"/>
    <col min="2" max="2" width="21.7109375" customWidth="1"/>
  </cols>
  <sheetData>
    <row r="2" spans="1:2" ht="30" x14ac:dyDescent="0.25">
      <c r="A2" s="1" t="s">
        <v>15</v>
      </c>
      <c r="B2" s="3" t="s">
        <v>16</v>
      </c>
    </row>
    <row r="3" spans="1:2" ht="30" x14ac:dyDescent="0.25">
      <c r="A3" s="4" t="s">
        <v>17</v>
      </c>
      <c r="B3" s="2">
        <f>AVERAGE(Dados!C2:C11)</f>
        <v>2110</v>
      </c>
    </row>
    <row r="4" spans="1:2" x14ac:dyDescent="0.25">
      <c r="A4" s="4" t="s">
        <v>18</v>
      </c>
      <c r="B4" s="2">
        <f>MAX(Dados!C2:C11)</f>
        <v>2600</v>
      </c>
    </row>
    <row r="5" spans="1:2" x14ac:dyDescent="0.25">
      <c r="A5" s="4" t="s">
        <v>19</v>
      </c>
      <c r="B5" s="2">
        <f>MIN(Dados!C2:C11)</f>
        <v>1750</v>
      </c>
    </row>
    <row r="6" spans="1:2" x14ac:dyDescent="0.25">
      <c r="A6" s="4" t="s">
        <v>20</v>
      </c>
      <c r="B6" s="6">
        <f>_xlfn.STDEV.S(Dados!C2:C11)</f>
        <v>266.45825188948453</v>
      </c>
    </row>
    <row r="7" spans="1:2" x14ac:dyDescent="0.25">
      <c r="A7" s="4" t="s">
        <v>21</v>
      </c>
      <c r="B7" s="2">
        <f>AVERAGE(Dados!D2:D11)</f>
        <v>6.6899999999999995</v>
      </c>
    </row>
    <row r="8" spans="1:2" x14ac:dyDescent="0.25">
      <c r="A8" s="4" t="s">
        <v>22</v>
      </c>
      <c r="B8" s="2">
        <f>AVERAGE(Dados!E2:E11)</f>
        <v>13.170000000000002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3D0A-6671-4067-A68D-06B46FC92879}">
  <dimension ref="A1"/>
  <sheetViews>
    <sheetView workbookViewId="0">
      <selection activeCell="R21" sqref="R21"/>
    </sheetView>
  </sheetViews>
  <sheetFormatPr defaultRowHeight="15" x14ac:dyDescent="0.25"/>
  <cols>
    <col min="2" max="2" width="16.140625" bestFit="1" customWidth="1"/>
    <col min="3" max="3" width="16.5703125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309B5-F353-4DF2-B90C-6EE121814BBA}">
  <dimension ref="B6:B10"/>
  <sheetViews>
    <sheetView tabSelected="1" topLeftCell="A4" workbookViewId="0">
      <selection activeCell="K15" sqref="K15"/>
    </sheetView>
  </sheetViews>
  <sheetFormatPr defaultRowHeight="15" x14ac:dyDescent="0.25"/>
  <cols>
    <col min="2" max="2" width="22" customWidth="1"/>
  </cols>
  <sheetData>
    <row r="6" spans="2:2" x14ac:dyDescent="0.25">
      <c r="B6" t="s">
        <v>23</v>
      </c>
    </row>
    <row r="8" spans="2:2" x14ac:dyDescent="0.25">
      <c r="B8" t="s">
        <v>24</v>
      </c>
    </row>
    <row r="10" spans="2:2" x14ac:dyDescent="0.25">
      <c r="B10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</vt:lpstr>
      <vt:lpstr>Calculos</vt:lpstr>
      <vt:lpstr>Graficos</vt:lpstr>
      <vt:lpstr>Conclusao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Costa</dc:creator>
  <cp:lastModifiedBy>André Costa</cp:lastModifiedBy>
  <dcterms:created xsi:type="dcterms:W3CDTF">2026-08-18T23:50:03Z</dcterms:created>
  <dcterms:modified xsi:type="dcterms:W3CDTF">2026-08-19T00:25:13Z</dcterms:modified>
</cp:coreProperties>
</file>